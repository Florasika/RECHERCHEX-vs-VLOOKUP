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ath\Downloads\"/>
    </mc:Choice>
  </mc:AlternateContent>
  <xr:revisionPtr revIDLastSave="0" documentId="8_{7667BFCB-4ADA-4086-9DD8-E5F3D36C76F8}" xr6:coauthVersionLast="47" xr6:coauthVersionMax="47" xr10:uidLastSave="{00000000-0000-0000-0000-000000000000}"/>
  <bookViews>
    <workbookView xWindow="-108" yWindow="-108" windowWidth="23256" windowHeight="12456" xr2:uid="{ECF7EFE6-2AAD-4C55-97F1-B6694646DE5F}"/>
  </bookViews>
  <sheets>
    <sheet name="Produits" sheetId="1" r:id="rId1"/>
    <sheet name="Comparaisons" sheetId="2" r:id="rId2"/>
    <sheet name="Exercice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9" i="3" l="1"/>
  <c r="B2" i="3"/>
  <c r="B6" i="3"/>
  <c r="A6" i="3"/>
  <c r="A2" i="3"/>
  <c r="D8" i="2"/>
  <c r="D7" i="2"/>
  <c r="D6" i="2"/>
  <c r="D5" i="2"/>
  <c r="C8" i="2"/>
  <c r="C7" i="2"/>
  <c r="C6" i="2"/>
  <c r="C5" i="2"/>
</calcChain>
</file>

<file path=xl/sharedStrings.xml><?xml version="1.0" encoding="utf-8"?>
<sst xmlns="http://schemas.openxmlformats.org/spreadsheetml/2006/main" count="55" uniqueCount="46">
  <si>
    <t>C</t>
  </si>
  <si>
    <t>ID Produit</t>
  </si>
  <si>
    <t>Nom Produit</t>
  </si>
  <si>
    <t>Catégorie</t>
  </si>
  <si>
    <t>Prix HT</t>
  </si>
  <si>
    <t>Stock</t>
  </si>
  <si>
    <t>Fournisseur</t>
  </si>
  <si>
    <t>Délai (j)</t>
  </si>
  <si>
    <t>PRD001</t>
  </si>
  <si>
    <t>Laptop Pro</t>
  </si>
  <si>
    <t>Informatique</t>
  </si>
  <si>
    <t>TechSupply</t>
  </si>
  <si>
    <t>PRD002</t>
  </si>
  <si>
    <t>Smartphone X</t>
  </si>
  <si>
    <t>Mobile</t>
  </si>
  <si>
    <t>MobilePlus</t>
  </si>
  <si>
    <t>PRD003</t>
  </si>
  <si>
    <t>Tablette Air</t>
  </si>
  <si>
    <t>PRD004</t>
  </si>
  <si>
    <t>Écouteurs BT</t>
  </si>
  <si>
    <t>Audio</t>
  </si>
  <si>
    <t>SoundCorp</t>
  </si>
  <si>
    <t>PRD005</t>
  </si>
  <si>
    <t>Montre Smart</t>
  </si>
  <si>
    <t>Wearable</t>
  </si>
  <si>
    <t>WearTech</t>
  </si>
  <si>
    <t>PRD006</t>
  </si>
  <si>
    <t>Clavier Meca</t>
  </si>
  <si>
    <t>Périphérique</t>
  </si>
  <si>
    <t>PRD007</t>
  </si>
  <si>
    <t>Souris Ergo</t>
  </si>
  <si>
    <t>PRD008</t>
  </si>
  <si>
    <t>Webcam HD</t>
  </si>
  <si>
    <t>VisionTech</t>
  </si>
  <si>
    <t>PRD009</t>
  </si>
  <si>
    <t>Disque SSD 1To</t>
  </si>
  <si>
    <t>Stockage</t>
  </si>
  <si>
    <t>StorageMax</t>
  </si>
  <si>
    <t>PRD010</t>
  </si>
  <si>
    <t>Hub USB-C</t>
  </si>
  <si>
    <t>Accessoire</t>
  </si>
  <si>
    <t>PRIX de PRD007</t>
  </si>
  <si>
    <t>Cherche PRD999 et affiche "produit inconnu" si absent</t>
  </si>
  <si>
    <t>Fournisseur du produit le moins cher</t>
  </si>
  <si>
    <t>ID à partir du nom "webcam HD"</t>
  </si>
  <si>
    <t>Prix avec RECHERCHEV + SIERREUR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</si>
</sst>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0"/>
      <name val="Times New Roman"/>
      <family val="1"/>
    </font>
    <font>
      <sz val="14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E707E1-0166-4CEC-B536-59FFAE104E12}" name="Tableau1" displayName="Tableau1" ref="A1:G11" totalsRowShown="0">
  <autoFilter ref="A1:G11" xr:uid="{30E707E1-0166-4CEC-B536-59FFAE104E12}"/>
  <tableColumns count="7">
    <tableColumn id="1" xr3:uid="{35F847F8-BD7F-4CC6-936F-9A551D444630}" name="ID Produit"/>
    <tableColumn id="2" xr3:uid="{DAAB0E2F-ED65-4C32-A23A-79B3DC87B11D}" name="Nom Produit"/>
    <tableColumn id="3" xr3:uid="{04E68FEF-6BCF-48E7-A6F4-2447385D002A}" name="Catégorie"/>
    <tableColumn id="4" xr3:uid="{2734FC6B-15D9-46AF-8853-C146CA57C8C7}" name="Prix HT"/>
    <tableColumn id="5" xr3:uid="{83DB5DC8-60D0-4924-96AB-6F9A76D56100}" name="Stock"/>
    <tableColumn id="6" xr3:uid="{DC3A7912-BA33-4399-B70D-918028672DD0}" name="Fournisseur"/>
    <tableColumn id="7" xr3:uid="{0D54E2B2-6179-46BF-A8AC-0E971FBBAB19}" name="Délai (j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6BB7D-907C-445A-B816-9C12F1D13FD0}">
  <dimension ref="A1:G11"/>
  <sheetViews>
    <sheetView tabSelected="1" workbookViewId="0">
      <selection activeCell="I16" sqref="I16"/>
    </sheetView>
  </sheetViews>
  <sheetFormatPr baseColWidth="10" defaultRowHeight="14.4" x14ac:dyDescent="0.3"/>
  <cols>
    <col min="1" max="1" width="11.33203125" customWidth="1"/>
    <col min="2" max="2" width="13.6640625" customWidth="1"/>
    <col min="3" max="3" width="11.6640625" bestFit="1" customWidth="1"/>
    <col min="4" max="4" width="8.6640625" customWidth="1"/>
    <col min="5" max="5" width="7.5546875" customWidth="1"/>
    <col min="6" max="6" width="12.5546875" customWidth="1"/>
    <col min="7" max="7" width="9.33203125" customWidth="1"/>
  </cols>
  <sheetData>
    <row r="1" spans="1:7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 spans="1:7" x14ac:dyDescent="0.3">
      <c r="A2" t="s">
        <v>8</v>
      </c>
      <c r="B2" t="s">
        <v>9</v>
      </c>
      <c r="C2" t="s">
        <v>10</v>
      </c>
      <c r="D2">
        <v>1200</v>
      </c>
      <c r="E2">
        <v>45</v>
      </c>
      <c r="F2" t="s">
        <v>11</v>
      </c>
      <c r="G2">
        <v>3</v>
      </c>
    </row>
    <row r="3" spans="1:7" x14ac:dyDescent="0.3">
      <c r="A3" t="s">
        <v>12</v>
      </c>
      <c r="B3" t="s">
        <v>13</v>
      </c>
      <c r="C3" t="s">
        <v>14</v>
      </c>
      <c r="D3">
        <v>650</v>
      </c>
      <c r="E3">
        <v>82</v>
      </c>
      <c r="F3" t="s">
        <v>15</v>
      </c>
      <c r="G3">
        <v>2</v>
      </c>
    </row>
    <row r="4" spans="1:7" x14ac:dyDescent="0.3">
      <c r="A4" t="s">
        <v>16</v>
      </c>
      <c r="B4" t="s">
        <v>17</v>
      </c>
      <c r="C4" t="s">
        <v>10</v>
      </c>
      <c r="D4">
        <v>450</v>
      </c>
      <c r="E4">
        <v>34</v>
      </c>
      <c r="F4" t="s">
        <v>11</v>
      </c>
      <c r="G4">
        <v>3</v>
      </c>
    </row>
    <row r="5" spans="1:7" x14ac:dyDescent="0.3">
      <c r="A5" t="s">
        <v>18</v>
      </c>
      <c r="B5" t="s">
        <v>19</v>
      </c>
      <c r="C5" t="s">
        <v>20</v>
      </c>
      <c r="D5">
        <v>120</v>
      </c>
      <c r="E5">
        <v>156</v>
      </c>
      <c r="F5" t="s">
        <v>21</v>
      </c>
      <c r="G5">
        <v>5</v>
      </c>
    </row>
    <row r="6" spans="1:7" x14ac:dyDescent="0.3">
      <c r="A6" t="s">
        <v>22</v>
      </c>
      <c r="B6" t="s">
        <v>23</v>
      </c>
      <c r="C6" t="s">
        <v>24</v>
      </c>
      <c r="D6">
        <v>280</v>
      </c>
      <c r="E6">
        <v>67</v>
      </c>
      <c r="F6" t="s">
        <v>25</v>
      </c>
      <c r="G6">
        <v>4</v>
      </c>
    </row>
    <row r="7" spans="1:7" x14ac:dyDescent="0.3">
      <c r="A7" t="s">
        <v>26</v>
      </c>
      <c r="B7" t="s">
        <v>27</v>
      </c>
      <c r="C7" t="s">
        <v>28</v>
      </c>
      <c r="D7">
        <v>180</v>
      </c>
      <c r="E7">
        <v>23</v>
      </c>
      <c r="F7" t="s">
        <v>11</v>
      </c>
      <c r="G7">
        <v>7</v>
      </c>
    </row>
    <row r="8" spans="1:7" x14ac:dyDescent="0.3">
      <c r="A8" t="s">
        <v>29</v>
      </c>
      <c r="B8" t="s">
        <v>30</v>
      </c>
      <c r="C8" t="s">
        <v>28</v>
      </c>
      <c r="D8">
        <v>95</v>
      </c>
      <c r="E8">
        <v>41</v>
      </c>
      <c r="F8" t="s">
        <v>11</v>
      </c>
      <c r="G8">
        <v>7</v>
      </c>
    </row>
    <row r="9" spans="1:7" x14ac:dyDescent="0.3">
      <c r="A9" t="s">
        <v>31</v>
      </c>
      <c r="B9" t="s">
        <v>32</v>
      </c>
      <c r="C9" t="s">
        <v>28</v>
      </c>
      <c r="D9">
        <v>110</v>
      </c>
      <c r="E9">
        <v>19</v>
      </c>
      <c r="F9" t="s">
        <v>33</v>
      </c>
      <c r="G9">
        <v>5</v>
      </c>
    </row>
    <row r="10" spans="1:7" x14ac:dyDescent="0.3">
      <c r="A10" t="s">
        <v>34</v>
      </c>
      <c r="B10" t="s">
        <v>35</v>
      </c>
      <c r="C10" t="s">
        <v>36</v>
      </c>
      <c r="D10">
        <v>135</v>
      </c>
      <c r="E10">
        <v>88</v>
      </c>
      <c r="F10" t="s">
        <v>37</v>
      </c>
      <c r="G10">
        <v>2</v>
      </c>
    </row>
    <row r="11" spans="1:7" x14ac:dyDescent="0.3">
      <c r="A11" t="s">
        <v>38</v>
      </c>
      <c r="B11" t="s">
        <v>39</v>
      </c>
      <c r="C11" t="s">
        <v>40</v>
      </c>
      <c r="D11">
        <v>65</v>
      </c>
      <c r="E11">
        <v>72</v>
      </c>
      <c r="F11" t="s">
        <v>11</v>
      </c>
      <c r="G11"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50EC6-3A50-4A48-9B5A-1A4AB02E5A57}">
  <dimension ref="A1:D8"/>
  <sheetViews>
    <sheetView workbookViewId="0">
      <selection activeCell="D9" sqref="D9"/>
    </sheetView>
  </sheetViews>
  <sheetFormatPr baseColWidth="10" defaultRowHeight="14.4" x14ac:dyDescent="0.3"/>
  <sheetData>
    <row r="1" spans="1:4" x14ac:dyDescent="0.3">
      <c r="A1" t="s">
        <v>0</v>
      </c>
    </row>
    <row r="4" spans="1:4" x14ac:dyDescent="0.3">
      <c r="C4" t="s">
        <v>29</v>
      </c>
      <c r="D4" t="s">
        <v>22</v>
      </c>
    </row>
    <row r="5" spans="1:4" x14ac:dyDescent="0.3">
      <c r="C5">
        <f>IFERROR(INDEX(Tableau1[Prix HT], MATCH(Comparaisons!C4,Tableau1[ID Produit], 0)), "Non trouvé")</f>
        <v>95</v>
      </c>
      <c r="D5">
        <f>IFERROR(VLOOKUP(D4,Tableau1[], 4, FALSE), "Non trouvé")</f>
        <v>280</v>
      </c>
    </row>
    <row r="6" spans="1:4" x14ac:dyDescent="0.3">
      <c r="C6">
        <f>IFERROR(INDEX(Tableau1[Stock], MATCH(Comparaisons!C4,Tableau1[ID Produit], 0)), "Non trouvé")</f>
        <v>41</v>
      </c>
      <c r="D6">
        <f>IFERROR(VLOOKUP(D4,Tableau1[], 5, FALSE), "Non trouvé")</f>
        <v>67</v>
      </c>
    </row>
    <row r="7" spans="1:4" x14ac:dyDescent="0.3">
      <c r="C7" t="str">
        <f>IFERROR(INDEX(Tableau1[Fournisseur], MATCH(Comparaisons!C4,Tableau1[ID Produit], 0)), "Non trouvé")</f>
        <v>TechSupply</v>
      </c>
      <c r="D7" t="str">
        <f>IFERROR(VLOOKUP(D4,Tableau1[], 6, FALSE), "Non trouvé")</f>
        <v>WearTech</v>
      </c>
    </row>
    <row r="8" spans="1:4" x14ac:dyDescent="0.3">
      <c r="C8">
        <f>IFERROR(INDEX(Tableau1[Délai (j)], MATCH(Comparaisons!C4,Tableau1[ID Produit], 0)), "Non trouvé")</f>
        <v>7</v>
      </c>
      <c r="D8">
        <f>IFERROR(VLOOKUP(D4,Tableau1[], 7, FALSE), "Non trouvé")</f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74FED-7609-4101-9C43-166767F3F063}">
  <dimension ref="A1:B9"/>
  <sheetViews>
    <sheetView workbookViewId="0">
      <selection activeCell="B13" sqref="B13"/>
    </sheetView>
  </sheetViews>
  <sheetFormatPr baseColWidth="10" defaultRowHeight="14.4" x14ac:dyDescent="0.3"/>
  <cols>
    <col min="1" max="1" width="46.6640625" customWidth="1"/>
    <col min="2" max="2" width="70.21875" customWidth="1"/>
  </cols>
  <sheetData>
    <row r="1" spans="1:2" ht="18" x14ac:dyDescent="0.35">
      <c r="A1" s="1" t="s">
        <v>41</v>
      </c>
      <c r="B1" s="1" t="s">
        <v>42</v>
      </c>
    </row>
    <row r="2" spans="1:2" ht="18" x14ac:dyDescent="0.35">
      <c r="A2" s="3">
        <f>IFERROR(INDEX(Tableau1[Prix HT], MATCH("PRD007",Tableau1[ID Produit], 0)), "Non trouvé")</f>
        <v>95</v>
      </c>
      <c r="B2" s="3" t="str">
        <f>IFERROR(INDEX(Tableau1[Prix HT], MATCH("PRD999", Tableau1[ID Produit], 0)), "Produit Inconnu")</f>
        <v>Produit Inconnu</v>
      </c>
    </row>
    <row r="5" spans="1:2" ht="18" x14ac:dyDescent="0.35">
      <c r="A5" s="2" t="s">
        <v>43</v>
      </c>
      <c r="B5" s="2" t="s">
        <v>44</v>
      </c>
    </row>
    <row r="6" spans="1:2" ht="18" x14ac:dyDescent="0.35">
      <c r="A6" s="3" t="str">
        <f>INDEX(Tableau1[Fournisseur], MATCH(MIN(Tableau1[Prix HT]), Tableau1[Prix HT],0))</f>
        <v>TechSupply</v>
      </c>
      <c r="B6" s="3" t="str">
        <f>IFERROR(INDEX(Tableau1[ID Produit], MATCH("Webcam HD", Tableau1[Nom Produit], 0)), "Non trouvé")</f>
        <v>PRD008</v>
      </c>
    </row>
    <row r="8" spans="1:2" ht="18" x14ac:dyDescent="0.35">
      <c r="A8" s="2" t="s">
        <v>45</v>
      </c>
    </row>
    <row r="9" spans="1:2" ht="18" x14ac:dyDescent="0.35">
      <c r="A9" s="3">
        <f>IFERROR(VLOOKUP("PRD005",Tableau1[], 4, FALSE), "Non trouvé")</f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Produits</vt:lpstr>
      <vt:lpstr>Comparaisons</vt:lpstr>
      <vt:lpstr>Exercices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adjowa sika Flora NOUDOUKOU</dc:creator>
  <cp:lastModifiedBy>adjowa sika Flora NOUDOUKOU</cp:lastModifiedBy>
  <dcterms:created xsi:type="dcterms:W3CDTF">2026-05-30T16:56:37Z</dcterms:created>
  <dcterms:modified xsi:type="dcterms:W3CDTF">2026-05-30T18:11:40Z</dcterms:modified>
</cp:coreProperties>
</file>